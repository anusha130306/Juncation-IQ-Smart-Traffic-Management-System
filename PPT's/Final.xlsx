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Downloads\"/>
    </mc:Choice>
  </mc:AlternateContent>
  <xr:revisionPtr revIDLastSave="0" documentId="8_{CE5E2C2E-11BF-412F-9B31-38470F18E890}" xr6:coauthVersionLast="47" xr6:coauthVersionMax="47" xr10:uidLastSave="{00000000-0000-0000-0000-000000000000}"/>
  <bookViews>
    <workbookView xWindow="-120" yWindow="-120" windowWidth="19440" windowHeight="11520" xr2:uid="{2F9A3732-AD11-472A-AB79-4C5BEED6A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3" i="1"/>
  <c r="K29" i="1"/>
  <c r="J29" i="1"/>
</calcChain>
</file>

<file path=xl/sharedStrings.xml><?xml version="1.0" encoding="utf-8"?>
<sst xmlns="http://schemas.openxmlformats.org/spreadsheetml/2006/main" count="44" uniqueCount="39">
  <si>
    <t>OBSERVATION TABLE</t>
  </si>
  <si>
    <t>Sr.No</t>
  </si>
  <si>
    <t>Case</t>
  </si>
  <si>
    <t>Total vehicle (count)</t>
  </si>
  <si>
    <t>Car (%)</t>
  </si>
  <si>
    <t xml:space="preserve">Bike (%) </t>
  </si>
  <si>
    <t>Truck (%)</t>
  </si>
  <si>
    <t>Bus (%)</t>
  </si>
  <si>
    <t xml:space="preserve">Van (%) </t>
  </si>
  <si>
    <t>Time without logic (Sec)</t>
  </si>
  <si>
    <t>Time with logic (Sec)</t>
  </si>
  <si>
    <t>Optimization (%)</t>
  </si>
  <si>
    <t xml:space="preserve">Less congestion, No E.V. </t>
  </si>
  <si>
    <t>Less congestion, 1 E.V.</t>
  </si>
  <si>
    <t xml:space="preserve">Less congestion, 2 E.V. </t>
  </si>
  <si>
    <t>Less congestion, 2 E.V. in same lane</t>
  </si>
  <si>
    <t>More congestion, No E.V</t>
  </si>
  <si>
    <t>More congestion, 1 E.V. Green Time &gt; 10 seconds for the previous lane</t>
  </si>
  <si>
    <t>More congestion, 1 E.V. Green Time &lt; 10 seconds for the previous lane</t>
  </si>
  <si>
    <t xml:space="preserve">More congestion, 2 E.V. </t>
  </si>
  <si>
    <t>More congestion, 2 E.V. in same lane</t>
  </si>
  <si>
    <t>Bike count more, without E.V.</t>
  </si>
  <si>
    <t xml:space="preserve">Bus count more, without E.V. </t>
  </si>
  <si>
    <t>Truck count more, without E.V.</t>
  </si>
  <si>
    <t>E.V. count more</t>
  </si>
  <si>
    <t>One lane is empty, and the other lanes are congested</t>
  </si>
  <si>
    <t xml:space="preserve">Only one lane has vehicles. </t>
  </si>
  <si>
    <t>Less congestion, 1 E.V. Green Time &gt; 10 seconds for the previous lane</t>
  </si>
  <si>
    <t xml:space="preserve">Less congestion, 1 E.V. Green Time &lt; 10 seconds for the previous lane. </t>
  </si>
  <si>
    <t>Bike count more, with 1 E.V.</t>
  </si>
  <si>
    <t xml:space="preserve">Bus count more, with 1 E.V. </t>
  </si>
  <si>
    <t>Truck count more, with 1 E.V.</t>
  </si>
  <si>
    <t>AVERAGE</t>
  </si>
  <si>
    <t>-</t>
  </si>
  <si>
    <t>2 E.V. at same time (1 Fire truck, 1 Ambulance)</t>
  </si>
  <si>
    <t>2 E.V. at same time (2 Ambulance)</t>
  </si>
  <si>
    <t>2 E.V. at same time (2 Fire truck)</t>
  </si>
  <si>
    <t>4 E.V. at same time (2 Ambuance, 2 Fire truck)</t>
  </si>
  <si>
    <t>4 E.V. at same time (4 Ambulance)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</si>
</sst>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 wrapText="1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D89A-C6F0-4382-B897-3FC82B7F3180}">
  <dimension ref="A1:L32"/>
  <sheetViews>
    <sheetView tabSelected="1" zoomScale="94" zoomScaleNormal="88" workbookViewId="0">
      <selection activeCell="N6" sqref="N6"/>
    </sheetView>
  </sheetViews>
  <sheetFormatPr defaultRowHeight="15" x14ac:dyDescent="0.25"/>
  <cols>
    <col min="2" max="2" width="34.42578125" customWidth="1"/>
    <col min="3" max="3" width="14.42578125" customWidth="1"/>
    <col min="9" max="9" width="16.140625" customWidth="1"/>
    <col min="10" max="10" width="15.5703125" customWidth="1"/>
    <col min="11" max="11" width="16.140625" customWidth="1"/>
  </cols>
  <sheetData>
    <row r="1" spans="1:12" ht="26.25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ht="3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4"/>
    </row>
    <row r="3" spans="1:12" x14ac:dyDescent="0.25">
      <c r="A3" s="5">
        <v>1</v>
      </c>
      <c r="B3" s="2" t="s">
        <v>12</v>
      </c>
      <c r="C3" s="5">
        <v>200</v>
      </c>
      <c r="D3" s="5">
        <v>55</v>
      </c>
      <c r="E3" s="5">
        <v>25</v>
      </c>
      <c r="F3" s="5">
        <v>10</v>
      </c>
      <c r="G3" s="5">
        <v>5</v>
      </c>
      <c r="H3" s="5">
        <v>5</v>
      </c>
      <c r="I3" s="5">
        <v>118</v>
      </c>
      <c r="J3" s="5">
        <v>30</v>
      </c>
      <c r="K3" s="10">
        <f>((I3-J3)/I3)*100</f>
        <v>74.576271186440678</v>
      </c>
      <c r="L3" s="4"/>
    </row>
    <row r="4" spans="1:12" x14ac:dyDescent="0.25">
      <c r="A4" s="5">
        <v>2</v>
      </c>
      <c r="B4" s="2" t="s">
        <v>13</v>
      </c>
      <c r="C4" s="5">
        <v>200</v>
      </c>
      <c r="D4" s="5">
        <v>55</v>
      </c>
      <c r="E4" s="5">
        <v>25</v>
      </c>
      <c r="F4" s="5">
        <v>10</v>
      </c>
      <c r="G4" s="5">
        <v>5</v>
      </c>
      <c r="H4" s="5">
        <v>5</v>
      </c>
      <c r="I4" s="5">
        <v>118</v>
      </c>
      <c r="J4" s="5">
        <v>50</v>
      </c>
      <c r="K4" s="10">
        <f t="shared" ref="K4:K27" si="0">((I4-J4)/I4)*100</f>
        <v>57.627118644067799</v>
      </c>
      <c r="L4" s="4"/>
    </row>
    <row r="5" spans="1:12" x14ac:dyDescent="0.25">
      <c r="A5" s="5">
        <v>3</v>
      </c>
      <c r="B5" s="2" t="s">
        <v>14</v>
      </c>
      <c r="C5" s="5">
        <v>200</v>
      </c>
      <c r="D5" s="5">
        <v>55</v>
      </c>
      <c r="E5" s="5">
        <v>25</v>
      </c>
      <c r="F5" s="5">
        <v>10</v>
      </c>
      <c r="G5" s="5">
        <v>5</v>
      </c>
      <c r="H5" s="5">
        <v>5</v>
      </c>
      <c r="I5" s="5">
        <v>118</v>
      </c>
      <c r="J5" s="5">
        <v>56</v>
      </c>
      <c r="K5" s="10">
        <f t="shared" si="0"/>
        <v>52.542372881355938</v>
      </c>
      <c r="L5" s="4"/>
    </row>
    <row r="6" spans="1:12" x14ac:dyDescent="0.25">
      <c r="A6" s="5">
        <v>4</v>
      </c>
      <c r="B6" s="2" t="s">
        <v>15</v>
      </c>
      <c r="C6" s="5">
        <v>200</v>
      </c>
      <c r="D6" s="5">
        <v>55</v>
      </c>
      <c r="E6" s="5">
        <v>25</v>
      </c>
      <c r="F6" s="5">
        <v>10</v>
      </c>
      <c r="G6" s="5">
        <v>5</v>
      </c>
      <c r="H6" s="5">
        <v>5</v>
      </c>
      <c r="I6" s="5">
        <v>118</v>
      </c>
      <c r="J6" s="5">
        <v>58</v>
      </c>
      <c r="K6" s="10">
        <f t="shared" si="0"/>
        <v>50.847457627118644</v>
      </c>
      <c r="L6" s="4"/>
    </row>
    <row r="7" spans="1:12" x14ac:dyDescent="0.25">
      <c r="A7" s="5">
        <v>5</v>
      </c>
      <c r="B7" s="2" t="s">
        <v>16</v>
      </c>
      <c r="C7" s="5">
        <v>300</v>
      </c>
      <c r="D7" s="5">
        <v>55</v>
      </c>
      <c r="E7" s="5">
        <v>25</v>
      </c>
      <c r="F7" s="5">
        <v>10</v>
      </c>
      <c r="G7" s="5">
        <v>5</v>
      </c>
      <c r="H7" s="5">
        <v>5</v>
      </c>
      <c r="I7" s="5">
        <v>118</v>
      </c>
      <c r="J7" s="5">
        <v>55</v>
      </c>
      <c r="K7" s="10">
        <f t="shared" si="0"/>
        <v>53.389830508474581</v>
      </c>
      <c r="L7" s="4"/>
    </row>
    <row r="8" spans="1:12" ht="30" x14ac:dyDescent="0.25">
      <c r="A8" s="5">
        <v>6</v>
      </c>
      <c r="B8" s="2" t="s">
        <v>17</v>
      </c>
      <c r="C8" s="5">
        <v>300</v>
      </c>
      <c r="D8" s="5">
        <v>55</v>
      </c>
      <c r="E8" s="5">
        <v>25</v>
      </c>
      <c r="F8" s="5">
        <v>10</v>
      </c>
      <c r="G8" s="5">
        <v>5</v>
      </c>
      <c r="H8" s="5">
        <v>5</v>
      </c>
      <c r="I8" s="5">
        <v>118</v>
      </c>
      <c r="J8" s="5">
        <v>84</v>
      </c>
      <c r="K8" s="10">
        <f t="shared" si="0"/>
        <v>28.8135593220339</v>
      </c>
      <c r="L8" s="4"/>
    </row>
    <row r="9" spans="1:12" ht="30" x14ac:dyDescent="0.25">
      <c r="A9" s="5">
        <v>7</v>
      </c>
      <c r="B9" s="2" t="s">
        <v>18</v>
      </c>
      <c r="C9" s="5">
        <v>300</v>
      </c>
      <c r="D9" s="5">
        <v>55</v>
      </c>
      <c r="E9" s="5">
        <v>25</v>
      </c>
      <c r="F9" s="5">
        <v>10</v>
      </c>
      <c r="G9" s="5">
        <v>5</v>
      </c>
      <c r="H9" s="5">
        <v>5</v>
      </c>
      <c r="I9" s="5">
        <v>118</v>
      </c>
      <c r="J9" s="5">
        <v>93</v>
      </c>
      <c r="K9" s="10">
        <f t="shared" si="0"/>
        <v>21.1864406779661</v>
      </c>
      <c r="L9" s="4"/>
    </row>
    <row r="10" spans="1:12" x14ac:dyDescent="0.25">
      <c r="A10" s="5">
        <v>8</v>
      </c>
      <c r="B10" s="2" t="s">
        <v>19</v>
      </c>
      <c r="C10" s="5">
        <v>300</v>
      </c>
      <c r="D10" s="5">
        <v>55</v>
      </c>
      <c r="E10" s="5">
        <v>25</v>
      </c>
      <c r="F10" s="5">
        <v>10</v>
      </c>
      <c r="G10" s="5">
        <v>5</v>
      </c>
      <c r="H10" s="5">
        <v>5</v>
      </c>
      <c r="I10" s="5">
        <v>118</v>
      </c>
      <c r="J10" s="5">
        <v>104</v>
      </c>
      <c r="K10" s="10">
        <f t="shared" si="0"/>
        <v>11.864406779661017</v>
      </c>
      <c r="L10" s="4"/>
    </row>
    <row r="11" spans="1:12" x14ac:dyDescent="0.25">
      <c r="A11" s="5">
        <v>9</v>
      </c>
      <c r="B11" s="2" t="s">
        <v>20</v>
      </c>
      <c r="C11" s="5">
        <v>300</v>
      </c>
      <c r="D11" s="5">
        <v>55</v>
      </c>
      <c r="E11" s="5">
        <v>25</v>
      </c>
      <c r="F11" s="5">
        <v>10</v>
      </c>
      <c r="G11" s="5">
        <v>5</v>
      </c>
      <c r="H11" s="5">
        <v>5</v>
      </c>
      <c r="I11" s="5">
        <v>118</v>
      </c>
      <c r="J11" s="5">
        <v>96</v>
      </c>
      <c r="K11" s="10">
        <f t="shared" si="0"/>
        <v>18.64406779661017</v>
      </c>
      <c r="L11" s="4"/>
    </row>
    <row r="12" spans="1:12" x14ac:dyDescent="0.25">
      <c r="A12" s="5">
        <v>10</v>
      </c>
      <c r="B12" s="2" t="s">
        <v>21</v>
      </c>
      <c r="C12" s="5">
        <v>300</v>
      </c>
      <c r="D12" s="5">
        <v>25</v>
      </c>
      <c r="E12" s="5">
        <v>70</v>
      </c>
      <c r="F12" s="5">
        <v>5</v>
      </c>
      <c r="G12" s="5">
        <v>5</v>
      </c>
      <c r="H12" s="5">
        <v>5</v>
      </c>
      <c r="I12" s="5">
        <v>118</v>
      </c>
      <c r="J12" s="5">
        <v>50</v>
      </c>
      <c r="K12" s="10">
        <f t="shared" si="0"/>
        <v>57.627118644067799</v>
      </c>
      <c r="L12" s="4"/>
    </row>
    <row r="13" spans="1:12" x14ac:dyDescent="0.25">
      <c r="A13" s="5">
        <v>11</v>
      </c>
      <c r="B13" s="2" t="s">
        <v>22</v>
      </c>
      <c r="C13" s="5">
        <v>300</v>
      </c>
      <c r="D13" s="5">
        <v>25</v>
      </c>
      <c r="E13" s="5">
        <v>10</v>
      </c>
      <c r="F13" s="5">
        <v>5</v>
      </c>
      <c r="G13" s="5">
        <v>55</v>
      </c>
      <c r="H13" s="5">
        <v>5</v>
      </c>
      <c r="I13" s="5">
        <v>118</v>
      </c>
      <c r="J13" s="5">
        <v>57</v>
      </c>
      <c r="K13" s="10">
        <f t="shared" si="0"/>
        <v>51.694915254237287</v>
      </c>
      <c r="L13" s="4"/>
    </row>
    <row r="14" spans="1:12" s="9" customFormat="1" x14ac:dyDescent="0.25">
      <c r="A14" s="6">
        <v>12</v>
      </c>
      <c r="B14" s="7" t="s">
        <v>23</v>
      </c>
      <c r="C14" s="6">
        <v>300</v>
      </c>
      <c r="D14" s="6">
        <v>25</v>
      </c>
      <c r="E14" s="6">
        <v>10</v>
      </c>
      <c r="F14" s="6">
        <v>55</v>
      </c>
      <c r="G14" s="6">
        <v>5</v>
      </c>
      <c r="H14" s="6">
        <v>5</v>
      </c>
      <c r="I14" s="5">
        <v>118</v>
      </c>
      <c r="J14" s="6">
        <v>78</v>
      </c>
      <c r="K14" s="10">
        <f t="shared" si="0"/>
        <v>33.898305084745758</v>
      </c>
      <c r="L14" s="8"/>
    </row>
    <row r="15" spans="1:12" x14ac:dyDescent="0.25">
      <c r="A15" s="5">
        <v>13</v>
      </c>
      <c r="B15" s="2" t="s">
        <v>24</v>
      </c>
      <c r="C15" s="5">
        <v>300</v>
      </c>
      <c r="D15" s="5">
        <v>55</v>
      </c>
      <c r="E15" s="5">
        <v>25</v>
      </c>
      <c r="F15" s="5">
        <v>10</v>
      </c>
      <c r="G15" s="5">
        <v>5</v>
      </c>
      <c r="H15" s="5">
        <v>5</v>
      </c>
      <c r="I15" s="5">
        <v>118</v>
      </c>
      <c r="J15" s="5">
        <v>165</v>
      </c>
      <c r="K15" s="10">
        <f t="shared" si="0"/>
        <v>-39.83050847457627</v>
      </c>
      <c r="L15" s="4"/>
    </row>
    <row r="16" spans="1:12" ht="30" x14ac:dyDescent="0.25">
      <c r="A16" s="5">
        <v>14</v>
      </c>
      <c r="B16" s="2" t="s">
        <v>25</v>
      </c>
      <c r="C16" s="5">
        <v>300</v>
      </c>
      <c r="D16" s="5">
        <v>55</v>
      </c>
      <c r="E16" s="5">
        <v>25</v>
      </c>
      <c r="F16" s="5">
        <v>10</v>
      </c>
      <c r="G16" s="5">
        <v>5</v>
      </c>
      <c r="H16" s="5">
        <v>5</v>
      </c>
      <c r="I16" s="5">
        <v>118</v>
      </c>
      <c r="J16" s="5">
        <v>44</v>
      </c>
      <c r="K16" s="10">
        <f t="shared" si="0"/>
        <v>62.711864406779661</v>
      </c>
      <c r="L16" s="4"/>
    </row>
    <row r="17" spans="1:12" x14ac:dyDescent="0.25">
      <c r="A17" s="5">
        <v>15</v>
      </c>
      <c r="B17" s="2" t="s">
        <v>26</v>
      </c>
      <c r="C17" s="5">
        <v>300</v>
      </c>
      <c r="D17" s="5">
        <v>55</v>
      </c>
      <c r="E17" s="5">
        <v>25</v>
      </c>
      <c r="F17" s="5">
        <v>10</v>
      </c>
      <c r="G17" s="5">
        <v>5</v>
      </c>
      <c r="H17" s="5">
        <v>5</v>
      </c>
      <c r="I17" s="5">
        <v>118</v>
      </c>
      <c r="J17" s="5">
        <v>13</v>
      </c>
      <c r="K17" s="10">
        <f t="shared" si="0"/>
        <v>88.983050847457619</v>
      </c>
      <c r="L17" s="4"/>
    </row>
    <row r="18" spans="1:12" ht="30" x14ac:dyDescent="0.25">
      <c r="A18" s="5">
        <v>16</v>
      </c>
      <c r="B18" s="2" t="s">
        <v>27</v>
      </c>
      <c r="C18" s="5">
        <v>300</v>
      </c>
      <c r="D18" s="5">
        <v>55</v>
      </c>
      <c r="E18" s="5">
        <v>25</v>
      </c>
      <c r="F18" s="5">
        <v>10</v>
      </c>
      <c r="G18" s="5">
        <v>5</v>
      </c>
      <c r="H18" s="5">
        <v>5</v>
      </c>
      <c r="I18" s="5">
        <v>118</v>
      </c>
      <c r="J18" s="5">
        <v>55</v>
      </c>
      <c r="K18" s="10">
        <f t="shared" si="0"/>
        <v>53.389830508474581</v>
      </c>
      <c r="L18" s="4"/>
    </row>
    <row r="19" spans="1:12" ht="30" x14ac:dyDescent="0.25">
      <c r="A19" s="5">
        <v>17</v>
      </c>
      <c r="B19" s="2" t="s">
        <v>28</v>
      </c>
      <c r="C19" s="5">
        <v>300</v>
      </c>
      <c r="D19" s="5">
        <v>55</v>
      </c>
      <c r="E19" s="5">
        <v>25</v>
      </c>
      <c r="F19" s="5">
        <v>10</v>
      </c>
      <c r="G19" s="5">
        <v>5</v>
      </c>
      <c r="H19" s="5">
        <v>5</v>
      </c>
      <c r="I19" s="5">
        <v>118</v>
      </c>
      <c r="J19" s="5">
        <v>58</v>
      </c>
      <c r="K19" s="10">
        <f t="shared" si="0"/>
        <v>50.847457627118644</v>
      </c>
      <c r="L19" s="4"/>
    </row>
    <row r="20" spans="1:12" x14ac:dyDescent="0.25">
      <c r="A20" s="5">
        <v>18</v>
      </c>
      <c r="B20" s="2" t="s">
        <v>29</v>
      </c>
      <c r="C20" s="5">
        <v>300</v>
      </c>
      <c r="D20" s="5">
        <v>25</v>
      </c>
      <c r="E20" s="5">
        <v>70</v>
      </c>
      <c r="F20" s="5">
        <v>5</v>
      </c>
      <c r="G20" s="5">
        <v>5</v>
      </c>
      <c r="H20" s="5">
        <v>5</v>
      </c>
      <c r="I20" s="5">
        <v>118</v>
      </c>
      <c r="J20" s="5">
        <v>60</v>
      </c>
      <c r="K20" s="10">
        <f t="shared" si="0"/>
        <v>49.152542372881356</v>
      </c>
      <c r="L20" s="4"/>
    </row>
    <row r="21" spans="1:12" x14ac:dyDescent="0.25">
      <c r="A21" s="5">
        <v>19</v>
      </c>
      <c r="B21" s="2" t="s">
        <v>30</v>
      </c>
      <c r="C21" s="5">
        <v>300</v>
      </c>
      <c r="D21" s="5">
        <v>25</v>
      </c>
      <c r="E21" s="5">
        <v>10</v>
      </c>
      <c r="F21" s="5">
        <v>5</v>
      </c>
      <c r="G21" s="5">
        <v>55</v>
      </c>
      <c r="H21" s="5">
        <v>5</v>
      </c>
      <c r="I21" s="5">
        <v>118</v>
      </c>
      <c r="J21" s="5">
        <v>84</v>
      </c>
      <c r="K21" s="10">
        <f t="shared" si="0"/>
        <v>28.8135593220339</v>
      </c>
      <c r="L21" s="4"/>
    </row>
    <row r="22" spans="1:12" x14ac:dyDescent="0.25">
      <c r="A22" s="5">
        <v>20</v>
      </c>
      <c r="B22" s="2" t="s">
        <v>31</v>
      </c>
      <c r="C22" s="5">
        <v>300</v>
      </c>
      <c r="D22" s="5">
        <v>25</v>
      </c>
      <c r="E22" s="5">
        <v>10</v>
      </c>
      <c r="F22" s="5">
        <v>55</v>
      </c>
      <c r="G22" s="5">
        <v>5</v>
      </c>
      <c r="H22" s="5">
        <v>5</v>
      </c>
      <c r="I22" s="5">
        <v>118</v>
      </c>
      <c r="J22" s="5">
        <v>100</v>
      </c>
      <c r="K22" s="10">
        <f t="shared" si="0"/>
        <v>15.254237288135593</v>
      </c>
      <c r="L22" s="4"/>
    </row>
    <row r="23" spans="1:12" ht="30" x14ac:dyDescent="0.25">
      <c r="A23" s="5">
        <v>21</v>
      </c>
      <c r="B23" s="2" t="s">
        <v>34</v>
      </c>
      <c r="C23" s="5">
        <v>300</v>
      </c>
      <c r="D23" s="5">
        <v>55</v>
      </c>
      <c r="E23" s="5">
        <v>25</v>
      </c>
      <c r="F23" s="5">
        <v>10</v>
      </c>
      <c r="G23" s="5">
        <v>5</v>
      </c>
      <c r="H23" s="5">
        <v>5</v>
      </c>
      <c r="I23" s="5">
        <v>118</v>
      </c>
      <c r="J23" s="5">
        <v>76</v>
      </c>
      <c r="K23" s="10">
        <f t="shared" si="0"/>
        <v>35.593220338983052</v>
      </c>
      <c r="L23" s="4"/>
    </row>
    <row r="24" spans="1:12" x14ac:dyDescent="0.25">
      <c r="A24" s="5">
        <v>22</v>
      </c>
      <c r="B24" s="2" t="s">
        <v>35</v>
      </c>
      <c r="C24" s="5">
        <v>300</v>
      </c>
      <c r="D24" s="5">
        <v>55</v>
      </c>
      <c r="E24" s="5">
        <v>25</v>
      </c>
      <c r="F24" s="5">
        <v>10</v>
      </c>
      <c r="G24" s="5">
        <v>5</v>
      </c>
      <c r="H24" s="5">
        <v>5</v>
      </c>
      <c r="I24" s="5">
        <v>118</v>
      </c>
      <c r="J24" s="5">
        <v>75</v>
      </c>
      <c r="K24" s="10">
        <f t="shared" si="0"/>
        <v>36.440677966101696</v>
      </c>
      <c r="L24" s="4"/>
    </row>
    <row r="25" spans="1:12" x14ac:dyDescent="0.25">
      <c r="A25" s="5">
        <v>23</v>
      </c>
      <c r="B25" s="2" t="s">
        <v>36</v>
      </c>
      <c r="C25" s="5">
        <v>300</v>
      </c>
      <c r="D25" s="5">
        <v>55</v>
      </c>
      <c r="E25" s="5">
        <v>25</v>
      </c>
      <c r="F25" s="5">
        <v>10</v>
      </c>
      <c r="G25" s="5">
        <v>5</v>
      </c>
      <c r="H25" s="5">
        <v>5</v>
      </c>
      <c r="I25" s="5">
        <v>118</v>
      </c>
      <c r="J25" s="5">
        <v>70</v>
      </c>
      <c r="K25" s="10">
        <f t="shared" si="0"/>
        <v>40.677966101694921</v>
      </c>
      <c r="L25" s="4"/>
    </row>
    <row r="26" spans="1:12" ht="30" x14ac:dyDescent="0.25">
      <c r="A26" s="5">
        <v>24</v>
      </c>
      <c r="B26" s="2" t="s">
        <v>37</v>
      </c>
      <c r="C26" s="5">
        <v>300</v>
      </c>
      <c r="D26" s="5">
        <v>35</v>
      </c>
      <c r="E26" s="5">
        <v>25</v>
      </c>
      <c r="F26" s="5">
        <v>10</v>
      </c>
      <c r="G26" s="5">
        <v>5</v>
      </c>
      <c r="H26" s="5">
        <v>5</v>
      </c>
      <c r="I26" s="5">
        <v>118</v>
      </c>
      <c r="J26" s="5">
        <v>75</v>
      </c>
      <c r="K26" s="10">
        <f t="shared" si="0"/>
        <v>36.440677966101696</v>
      </c>
      <c r="L26" s="4"/>
    </row>
    <row r="27" spans="1:12" x14ac:dyDescent="0.25">
      <c r="A27" s="5">
        <v>25</v>
      </c>
      <c r="B27" s="2" t="s">
        <v>38</v>
      </c>
      <c r="C27" s="5">
        <v>300</v>
      </c>
      <c r="D27" s="5">
        <v>55</v>
      </c>
      <c r="E27" s="5">
        <v>25</v>
      </c>
      <c r="F27" s="5">
        <v>10</v>
      </c>
      <c r="G27" s="5">
        <v>5</v>
      </c>
      <c r="H27" s="5">
        <v>5</v>
      </c>
      <c r="I27" s="5">
        <v>118</v>
      </c>
      <c r="J27" s="5">
        <v>76</v>
      </c>
      <c r="K27" s="10">
        <f t="shared" si="0"/>
        <v>35.593220338983052</v>
      </c>
      <c r="L27" s="4"/>
    </row>
    <row r="28" spans="1:12" x14ac:dyDescent="0.25">
      <c r="A28" s="5"/>
      <c r="B28" s="4"/>
      <c r="C28" s="4"/>
      <c r="D28" s="4"/>
      <c r="E28" s="4"/>
      <c r="F28" s="4"/>
      <c r="G28" s="4"/>
      <c r="H28" s="4"/>
      <c r="I28" s="5"/>
      <c r="J28" s="4"/>
      <c r="K28" s="11"/>
      <c r="L28" s="4"/>
    </row>
    <row r="29" spans="1:12" x14ac:dyDescent="0.25">
      <c r="A29" s="5"/>
      <c r="B29" s="4" t="s">
        <v>32</v>
      </c>
      <c r="C29" s="5" t="s">
        <v>33</v>
      </c>
      <c r="D29" s="5" t="s">
        <v>33</v>
      </c>
      <c r="E29" s="5" t="s">
        <v>33</v>
      </c>
      <c r="F29" s="5" t="s">
        <v>33</v>
      </c>
      <c r="G29" s="5" t="s">
        <v>33</v>
      </c>
      <c r="H29" s="5" t="s">
        <v>33</v>
      </c>
      <c r="I29" s="1">
        <v>118</v>
      </c>
      <c r="J29" s="1">
        <f>AVERAGE(J3:J28)</f>
        <v>70.48</v>
      </c>
      <c r="K29" s="12">
        <f>AVERAGE(K3:K28)</f>
        <v>40.271186440677972</v>
      </c>
      <c r="L29" s="4"/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Shrutika Patil</dc:creator>
  <cp:lastModifiedBy>Shrutika Patil</cp:lastModifiedBy>
  <dcterms:created xsi:type="dcterms:W3CDTF">2026-10-21T09:32:05Z</dcterms:created>
  <dcterms:modified xsi:type="dcterms:W3CDTF">2026-10-21T10:05:26Z</dcterms:modified>
</cp:coreProperties>
</file>